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wsl.localhost\Ubuntu\home\branko007\projects\iselin_training\tools\"/>
    </mc:Choice>
  </mc:AlternateContent>
  <bookViews>
    <workbookView xWindow="0" yWindow="0" windowWidth="23040" windowHeight="9072"/>
  </bookViews>
  <sheets>
    <sheet name="Consumo Gasoil" sheetId="1" r:id="rId1"/>
    <sheet name="Tiempos de Viaje" sheetId="2" r:id="rId2"/>
    <sheet name="Variabilidad" sheetId="3" r:id="rId3"/>
  </sheets>
  <calcPr calcId="162913"/>
</workbook>
</file>

<file path=xl/calcChain.xml><?xml version="1.0" encoding="utf-8"?>
<calcChain xmlns="http://schemas.openxmlformats.org/spreadsheetml/2006/main">
  <c r="C24" i="3" l="1"/>
  <c r="B24" i="3"/>
  <c r="C23" i="3"/>
  <c r="B23" i="3"/>
  <c r="C22" i="3"/>
  <c r="B22" i="3"/>
  <c r="C21" i="3"/>
  <c r="B21" i="3"/>
  <c r="C20" i="3"/>
  <c r="B20" i="3"/>
  <c r="C19" i="3"/>
  <c r="B19" i="3"/>
  <c r="B35" i="2"/>
  <c r="B34" i="2"/>
  <c r="B33" i="2"/>
  <c r="B32" i="2"/>
  <c r="B31" i="2"/>
  <c r="B30" i="2"/>
  <c r="B29" i="2"/>
  <c r="B25" i="1"/>
  <c r="B24" i="1"/>
  <c r="B23" i="1"/>
  <c r="B22" i="1"/>
  <c r="B21" i="1"/>
  <c r="B20" i="1"/>
  <c r="B19"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alcChain>
</file>

<file path=xl/sharedStrings.xml><?xml version="1.0" encoding="utf-8"?>
<sst xmlns="http://schemas.openxmlformats.org/spreadsheetml/2006/main" count="163" uniqueCount="85">
  <si>
    <t>Consumo de Gasoil por Colectivo — Semana del 14 al 18 de Abril 2026</t>
  </si>
  <si>
    <t>Litros consumidos por día. ¿Todos los colectivos consumen parecido o hay mucha diferencia?</t>
  </si>
  <si>
    <t>Colectivo</t>
  </si>
  <si>
    <t>Lunes</t>
  </si>
  <si>
    <t>Martes</t>
  </si>
  <si>
    <t>Miércoles</t>
  </si>
  <si>
    <t>Jueves</t>
  </si>
  <si>
    <t>Viernes</t>
  </si>
  <si>
    <t>Promedio</t>
  </si>
  <si>
    <t>Desvío Estándar</t>
  </si>
  <si>
    <t>Rango</t>
  </si>
  <si>
    <t>Interpretación</t>
  </si>
  <si>
    <t>INT-101</t>
  </si>
  <si>
    <t>Estable. Consumo predecible, sin sorpresas.</t>
  </si>
  <si>
    <t>INT-102</t>
  </si>
  <si>
    <t>Estable. Valores muy parejos entre días.</t>
  </si>
  <si>
    <t>INT-103</t>
  </si>
  <si>
    <t>Estable. Variación mínima, proceso bajo control.</t>
  </si>
  <si>
    <t>INT-104</t>
  </si>
  <si>
    <t>ATENCIÓN: Muy variable. Un día 30 lts, otro 70. Revisar vehículo o chofer.</t>
  </si>
  <si>
    <t>INT-105</t>
  </si>
  <si>
    <t>Estable. Casi idéntico todos los días.</t>
  </si>
  <si>
    <t>INT-106</t>
  </si>
  <si>
    <t>ATENCIÓN: Muy variable. Oscila entre 25 y 72 lts. Causa a investigar.</t>
  </si>
  <si>
    <t>INT-107</t>
  </si>
  <si>
    <t>Estable. Consumo parejo toda la semana.</t>
  </si>
  <si>
    <t>INT-108</t>
  </si>
  <si>
    <t>Estable. Leve variación, dentro de lo esperable.</t>
  </si>
  <si>
    <t>INT-109</t>
  </si>
  <si>
    <t>Variable. Oscila bastante, pero menos que INT-104/106.</t>
  </si>
  <si>
    <t>INT-110</t>
  </si>
  <si>
    <t>Perfectamente estable. Mismo consumo todos los días.</t>
  </si>
  <si>
    <t>Promedio = valor típico | Desvío = cuánto varía | Rango = diferencia entre máximo y mínimo | Si el desvío es bajo (&lt;3), el colectivo es estable. Si es alto (&gt;10), hay un problema.</t>
  </si>
  <si>
    <t>ESTADÍSTICAS GENERALES</t>
  </si>
  <si>
    <t>Promedio general (lts/día)</t>
  </si>
  <si>
    <t>Sumar todos los valores y dividir por la cantidad. Es el valor 'típico', pero se distorsiona si hay valores extremos.</t>
  </si>
  <si>
    <t>Mediana</t>
  </si>
  <si>
    <t>Ordenar todos los valores y tomar el del medio. No se ve afectada por extremos. Si es muy diferente al promedio, hay outliers.</t>
  </si>
  <si>
    <t>Moda</t>
  </si>
  <si>
    <t>El valor que más veces aparece. Indica cuál es el consumo más frecuente entre todos los registros.</t>
  </si>
  <si>
    <t>Rango general</t>
  </si>
  <si>
    <t>Máximo menos mínimo. Cuanto más grande, más diferencia hay entre el mejor y el peor caso.</t>
  </si>
  <si>
    <t>Desvío estándar general</t>
  </si>
  <si>
    <t>Mide cuánto se alejan los datos del promedio. Desvío bajo (&lt;5) = datos parejos. Desvío alto (&gt;10) = mucha dispersión.</t>
  </si>
  <si>
    <t>Mínimo</t>
  </si>
  <si>
    <t>El consumo más bajo registrado en toda la semana para todos los colectivos.</t>
  </si>
  <si>
    <t>Máximo</t>
  </si>
  <si>
    <t>El consumo más alto registrado. Si es mucho mayor que el promedio, hay que investigar por qué.</t>
  </si>
  <si>
    <t>CONCLUSIÓN CLAVE: El INT-104 y el INT-106 tienen un promedio similar al resto (~48 lts), pero su variabilidad es enorme (desvío &gt; 15). Esto indica un problema: el promedio parece correcto, pero el proceso es inestable. Un colectivo que un día consume 25 lts y otro día 72 lts necesita revisión, aunque su promedio sea 'normal'.</t>
  </si>
  <si>
    <t>¿CÓMO LEER ESTA TABLA? → Mirá primero la columna 'Promedio': te dice cuánto consume en promedio cada colectivo. Después mirá 'Desvío Estándar': si es bajo (1-3), el consumo es parejo y predecible. Si es alto (&gt;10), hay días muy altos y muy bajos. Por último, mirá 'Rango': te dice la diferencia entre el peor día y el mejor día. Un rango de 4 es normal. Un rango de 47 es una alarma.</t>
  </si>
  <si>
    <t>EL PROMEDIO SOLO NO ALCANZA. Siempre hay que mirar la variabilidad.</t>
  </si>
  <si>
    <t>Tiempos de Viaje Ruta 5 — Últimos 20 viajes (minutos)</t>
  </si>
  <si>
    <t>¿Cuánto tarda normalmente un viaje? ¿Hay viajes que se desvían mucho del tiempo esperado?</t>
  </si>
  <si>
    <t>Viaje #</t>
  </si>
  <si>
    <t>Chofer</t>
  </si>
  <si>
    <t>Tiempo (min)</t>
  </si>
  <si>
    <t>Día</t>
  </si>
  <si>
    <t>Horario</t>
  </si>
  <si>
    <t>García</t>
  </si>
  <si>
    <t>Mañana</t>
  </si>
  <si>
    <t>López</t>
  </si>
  <si>
    <t>Tarde</t>
  </si>
  <si>
    <t>Martínez</t>
  </si>
  <si>
    <t>Rodríguez</t>
  </si>
  <si>
    <t>Fernández</t>
  </si>
  <si>
    <t>Las filas en rojo son OUTLIERS (valores atípicos): el viaje 15 tardó 85 min por ruta cortada y el viaje 19 tardó 90 min por un accidente. Estos 2 valores no representan lo normal, pero afectan al promedio. Observá la diferencia entre promedio y mediana.</t>
  </si>
  <si>
    <t>ESTADÍSTICAS</t>
  </si>
  <si>
    <t>Suma todos los tiempos y divide por 20. INCLUYE los outliers, por eso da más alto de lo esperado.</t>
  </si>
  <si>
    <t>Ordena los 20 tiempos y toma el del medio. NO se ve afectada por los 2 viajes extremos. Mucho más representativa.</t>
  </si>
  <si>
    <t>El tiempo que más veces se repite. Indica cuál es la duración más habitual de un viaje.</t>
  </si>
  <si>
    <t>Diferencia entre el viaje más largo (90 min) y el más corto (41 min). Un rango de ~49 min es enorme.</t>
  </si>
  <si>
    <t>Desvío estándar</t>
  </si>
  <si>
    <t>Cuánto se dispersan los tiempos. Un desvío alto indica que hay viajes con tiempos muy diferentes entre sí.</t>
  </si>
  <si>
    <t>El viaje más rápido. Representa el mejor escenario posible en esta ruta.</t>
  </si>
  <si>
    <t>El viaje más lento. Acá debemos preguntarnos: ¿por qué tardó tanto? ¿Es algo que se puede prevenir?</t>
  </si>
  <si>
    <t>CONCLUSIÓN: El promedio da ~47 min, pero la mediana da ~43 min. ¿Por qué la diferencia? Porque 2 viajes (el 15 y el 19) tardaron 85 y 90 minutos. Esos valores extremos arrastran el promedio hacia arriba. La mediana es más confiable en estos casos: el viaje típico de la Ruta 5 tarda unos 43 minutos.</t>
  </si>
  <si>
    <t>PARA RECORDAR: Cuando el promedio y la mediana dan valores muy distintos, es señal de que hay outliers (valores extremos). En esos casos, la mediana refleja mejor la realidad. El promedio es útil cuando los datos son parejos y no hay valores raros.</t>
  </si>
  <si>
    <t>¿Cumplir el promedio es suficiente?</t>
  </si>
  <si>
    <t>Dos colectivos con el MISMO promedio de consumo, pero resultados muy diferentes</t>
  </si>
  <si>
    <t>INT-101 (Estable)</t>
  </si>
  <si>
    <t>INT-104 (Variable)</t>
  </si>
  <si>
    <t>Meta (lts/día)</t>
  </si>
  <si>
    <t>COMPARACIÓN</t>
  </si>
  <si>
    <t>CONCLUSIÓN: Ambos colectivos tienen casi el mismo promedio (~48 lts). Pero el INT-101 es predecible y estable (desvío ~1.4), mientras que el INT-104 es un caos (desvío ~18). Cumplir la meta EN PROMEDIO no significa que el proceso esté bajo control. La variabilidad alta indica que algo anda mal: puede ser el chofer, el estado del vehículo o la ruta.</t>
  </si>
  <si>
    <t>EL PROMEDIO MIENTE SI NO MIRAMOS LA VARIABILIDAD. Siempre hay que analizar ambas medidas juntas.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</si>
</sst>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theme="1"/>
      <name val="Calibri"/>
      <family val="2"/>
      <scheme val="minor"/>
    </font>
    <font>
      <b/>
      <sz val="14"/>
      <color rgb="FF0F172A"/>
      <name val="Calibri"/>
      <family val="2"/>
    </font>
    <font>
      <i/>
      <sz val="10"/>
      <color rgb="FF64748B"/>
      <name val="Calibri"/>
      <family val="2"/>
    </font>
    <font>
      <b/>
      <sz val="11"/>
      <color rgb="FFFFFFFF"/>
      <name val="Calibri"/>
      <family val="2"/>
    </font>
    <font>
      <sz val="11"/>
      <name val="Calibri"/>
      <family val="2"/>
    </font>
    <font>
      <b/>
      <sz val="11"/>
      <name val="Calibri"/>
      <family val="2"/>
    </font>
    <font>
      <sz val="10"/>
      <color rgb="FF059669"/>
      <name val="Calibri"/>
      <family val="2"/>
    </font>
    <font>
      <b/>
      <sz val="10"/>
      <color rgb="FFEA580C"/>
      <name val="Calibri"/>
      <family val="2"/>
    </font>
    <font>
      <b/>
      <sz val="11"/>
      <color rgb="FF3B82F6"/>
      <name val="Calibri"/>
      <family val="2"/>
    </font>
    <font>
      <b/>
      <sz val="11"/>
      <color rgb="FF0F172A"/>
      <name val="Calibri"/>
      <family val="2"/>
    </font>
    <font>
      <b/>
      <sz val="11"/>
      <color rgb="FFEA580C"/>
      <name val="Calibri"/>
      <family val="2"/>
    </font>
    <font>
      <i/>
      <sz val="10"/>
      <color rgb="FF334155"/>
      <name val="Calibri"/>
      <family val="2"/>
    </font>
    <font>
      <b/>
      <sz val="12"/>
      <color rgb="FF0F172A"/>
      <name val="Calibri"/>
      <family val="2"/>
    </font>
    <font>
      <b/>
      <sz val="11"/>
      <color rgb="FFDC2626"/>
      <name val="Calibri"/>
      <family val="2"/>
    </font>
    <font>
      <i/>
      <sz val="10"/>
      <color rgb="FFDC2626"/>
      <name val="Calibri"/>
      <family val="2"/>
    </font>
    <font>
      <b/>
      <sz val="11"/>
      <color rgb="FF0D9488"/>
      <name val="Calibri"/>
      <family val="2"/>
    </font>
    <font>
      <b/>
      <sz val="11"/>
      <color rgb="FF059669"/>
      <name val="Calibri"/>
      <family val="2"/>
    </font>
  </fonts>
  <fills count="7">
    <fill>
      <patternFill patternType="none"/>
    </fill>
    <fill>
      <patternFill patternType="gray125"/>
    </fill>
    <fill>
      <patternFill patternType="solid">
        <fgColor rgb="FF0F172A"/>
        <bgColor rgb="FF0F172A"/>
      </patternFill>
    </fill>
    <fill>
      <patternFill patternType="solid">
        <fgColor rgb="FFF1F5F9"/>
        <bgColor rgb="FFF1F5F9"/>
      </patternFill>
    </fill>
    <fill>
      <patternFill patternType="solid">
        <fgColor rgb="FFFEF2F2"/>
        <bgColor rgb="FFFEF2F2"/>
      </patternFill>
    </fill>
    <fill>
      <patternFill patternType="solid">
        <fgColor rgb="FF059669"/>
        <bgColor rgb="FF059669"/>
      </patternFill>
    </fill>
    <fill>
      <patternFill patternType="solid">
        <fgColor rgb="FFEA580C"/>
        <bgColor rgb="FFEA580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5">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164" fontId="5"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6" fillId="0" borderId="1"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left" vertical="center" wrapText="1"/>
    </xf>
    <xf numFmtId="0" fontId="8" fillId="0" borderId="0" xfId="0" applyFont="1"/>
    <xf numFmtId="0" fontId="9" fillId="0" borderId="1" xfId="0" applyFont="1" applyBorder="1"/>
    <xf numFmtId="164" fontId="8"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1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16" fillId="0" borderId="0" xfId="0" applyFont="1" applyAlignment="1">
      <alignment horizontal="center" vertical="center"/>
    </xf>
    <xf numFmtId="0" fontId="10" fillId="0" borderId="0" xfId="0" applyFont="1" applyAlignment="1">
      <alignment horizontal="center" vertical="center"/>
    </xf>
    <xf numFmtId="164" fontId="16" fillId="0" borderId="1" xfId="0" applyNumberFormat="1" applyFont="1" applyBorder="1" applyAlignment="1">
      <alignment horizontal="center" vertical="center"/>
    </xf>
    <xf numFmtId="164" fontId="10" fillId="0" borderId="1" xfId="0" applyNumberFormat="1" applyFont="1" applyBorder="1" applyAlignment="1">
      <alignment horizontal="center" vertical="center"/>
    </xf>
    <xf numFmtId="0" fontId="2" fillId="0" borderId="0" xfId="0" applyFont="1"/>
    <xf numFmtId="0" fontId="0" fillId="0" borderId="0" xfId="0"/>
    <xf numFmtId="0" fontId="11" fillId="0" borderId="0" xfId="0" applyFont="1" applyAlignment="1">
      <alignment horizontal="left" vertical="center" wrapText="1"/>
    </xf>
    <xf numFmtId="0" fontId="1" fillId="0" borderId="0" xfId="0" applyFont="1" applyAlignment="1">
      <alignment horizontal="left" vertical="center"/>
    </xf>
    <xf numFmtId="0" fontId="8" fillId="0" borderId="0" xfId="0" applyFont="1"/>
    <xf numFmtId="0" fontId="2"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center" vertical="center"/>
    </xf>
    <xf numFmtId="0" fontId="14" fillId="0" borderId="0" xfId="0" applyFont="1" applyAlignment="1">
      <alignment horizontal="left" vertical="center" wrapText="1"/>
    </xf>
    <xf numFmtId="0" fontId="1" fillId="0" borderId="0" xfId="0" applyFont="1"/>
    <xf numFmtId="0" fontId="15" fillId="0" borderId="0" xfId="0" applyFont="1" applyAlignment="1">
      <alignment horizontal="left" vertical="center" wrapText="1"/>
    </xf>
    <xf numFmtId="0" fontId="0" fillId="0" borderId="0" xfId="0" applyAlignment="1"/>
    <xf numFmtId="0" fontId="10" fillId="0" borderId="0" xfId="0" applyFont="1" applyAlignment="1">
      <alignment horizontal="center" vertical="center" wrapText="1"/>
    </xf>
    <xf numFmtId="0" fontId="12"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B82F6"/>
  </sheetPr>
  <dimension ref="A1:K31"/>
  <sheetViews>
    <sheetView tabSelected="1" workbookViewId="0">
      <selection activeCell="B23" sqref="B23"/>
    </sheetView>
  </sheetViews>
  <sheetFormatPr baseColWidth="10" defaultColWidth="8.88671875" defaultRowHeight="14.4" x14ac:dyDescent="0.3"/>
  <cols>
    <col min="1" max="1" width="26" customWidth="1"/>
    <col min="2" max="2" width="15" customWidth="1"/>
    <col min="3" max="3" width="48" customWidth="1"/>
    <col min="4" max="7" width="15" customWidth="1"/>
    <col min="8" max="8" width="14" customWidth="1"/>
    <col min="9" max="9" width="18" customWidth="1"/>
    <col min="10" max="10" width="12" customWidth="1"/>
    <col min="11" max="11" width="52" customWidth="1"/>
  </cols>
  <sheetData>
    <row r="1" spans="1:11" ht="18" x14ac:dyDescent="0.3">
      <c r="A1" s="23" t="s">
        <v>0</v>
      </c>
      <c r="B1" s="21"/>
      <c r="C1" s="21"/>
      <c r="D1" s="21"/>
      <c r="E1" s="21"/>
      <c r="F1" s="21"/>
    </row>
    <row r="2" spans="1:11" x14ac:dyDescent="0.3">
      <c r="A2" s="20" t="s">
        <v>1</v>
      </c>
      <c r="B2" s="21"/>
      <c r="C2" s="21"/>
      <c r="D2" s="21"/>
      <c r="E2" s="21"/>
      <c r="F2" s="21"/>
    </row>
    <row r="4" spans="1:11" x14ac:dyDescent="0.3">
      <c r="A4" s="1" t="s">
        <v>2</v>
      </c>
      <c r="B4" s="1" t="s">
        <v>3</v>
      </c>
      <c r="C4" s="1" t="s">
        <v>4</v>
      </c>
      <c r="D4" s="1" t="s">
        <v>5</v>
      </c>
      <c r="E4" s="1" t="s">
        <v>6</v>
      </c>
      <c r="F4" s="1" t="s">
        <v>7</v>
      </c>
      <c r="H4" s="1" t="s">
        <v>8</v>
      </c>
      <c r="I4" s="1" t="s">
        <v>9</v>
      </c>
      <c r="J4" s="1" t="s">
        <v>10</v>
      </c>
      <c r="K4" s="1" t="s">
        <v>11</v>
      </c>
    </row>
    <row r="5" spans="1:11" x14ac:dyDescent="0.3">
      <c r="A5" s="2" t="s">
        <v>12</v>
      </c>
      <c r="B5" s="2">
        <v>47</v>
      </c>
      <c r="C5" s="2">
        <v>49</v>
      </c>
      <c r="D5" s="2">
        <v>48</v>
      </c>
      <c r="E5" s="2">
        <v>50</v>
      </c>
      <c r="F5" s="2">
        <v>46</v>
      </c>
      <c r="H5" s="3">
        <f t="shared" ref="H5:H14" si="0">AVERAGE(B5:F5)</f>
        <v>48</v>
      </c>
      <c r="I5" s="4">
        <f t="shared" ref="I5:I14" si="1">STDEV(B5:F5)</f>
        <v>1.5811388300841898</v>
      </c>
      <c r="J5" s="5">
        <f t="shared" ref="J5:J14" si="2">MAX(B5:F5)-MIN(B5:F5)</f>
        <v>4</v>
      </c>
      <c r="K5" s="6" t="s">
        <v>13</v>
      </c>
    </row>
    <row r="6" spans="1:11" x14ac:dyDescent="0.3">
      <c r="A6" s="7" t="s">
        <v>14</v>
      </c>
      <c r="B6" s="7">
        <v>46</v>
      </c>
      <c r="C6" s="7">
        <v>48</v>
      </c>
      <c r="D6" s="7">
        <v>50</v>
      </c>
      <c r="E6" s="7">
        <v>47</v>
      </c>
      <c r="F6" s="7">
        <v>49</v>
      </c>
      <c r="H6" s="3">
        <f t="shared" si="0"/>
        <v>48</v>
      </c>
      <c r="I6" s="4">
        <f t="shared" si="1"/>
        <v>1.5811388300841898</v>
      </c>
      <c r="J6" s="5">
        <f t="shared" si="2"/>
        <v>4</v>
      </c>
      <c r="K6" s="6" t="s">
        <v>15</v>
      </c>
    </row>
    <row r="7" spans="1:11" x14ac:dyDescent="0.3">
      <c r="A7" s="2" t="s">
        <v>16</v>
      </c>
      <c r="B7" s="2">
        <v>45</v>
      </c>
      <c r="C7" s="2">
        <v>51</v>
      </c>
      <c r="D7" s="2">
        <v>47</v>
      </c>
      <c r="E7" s="2">
        <v>49</v>
      </c>
      <c r="F7" s="2">
        <v>48</v>
      </c>
      <c r="H7" s="3">
        <f t="shared" si="0"/>
        <v>48</v>
      </c>
      <c r="I7" s="4">
        <f t="shared" si="1"/>
        <v>2.2360679774997898</v>
      </c>
      <c r="J7" s="5">
        <f t="shared" si="2"/>
        <v>6</v>
      </c>
      <c r="K7" s="6" t="s">
        <v>17</v>
      </c>
    </row>
    <row r="8" spans="1:11" ht="27.6" x14ac:dyDescent="0.3">
      <c r="A8" s="7" t="s">
        <v>18</v>
      </c>
      <c r="B8" s="7">
        <v>30</v>
      </c>
      <c r="C8" s="7">
        <v>65</v>
      </c>
      <c r="D8" s="7">
        <v>35</v>
      </c>
      <c r="E8" s="7">
        <v>70</v>
      </c>
      <c r="F8" s="7">
        <v>40</v>
      </c>
      <c r="H8" s="3">
        <f t="shared" si="0"/>
        <v>48</v>
      </c>
      <c r="I8" s="4">
        <f t="shared" si="1"/>
        <v>18.234582528810471</v>
      </c>
      <c r="J8" s="5">
        <f t="shared" si="2"/>
        <v>40</v>
      </c>
      <c r="K8" s="8" t="s">
        <v>19</v>
      </c>
    </row>
    <row r="9" spans="1:11" x14ac:dyDescent="0.3">
      <c r="A9" s="2" t="s">
        <v>20</v>
      </c>
      <c r="B9" s="2">
        <v>48</v>
      </c>
      <c r="C9" s="2">
        <v>47</v>
      </c>
      <c r="D9" s="2">
        <v>49</v>
      </c>
      <c r="E9" s="2">
        <v>48</v>
      </c>
      <c r="F9" s="2">
        <v>48</v>
      </c>
      <c r="H9" s="3">
        <f t="shared" si="0"/>
        <v>48</v>
      </c>
      <c r="I9" s="4">
        <f t="shared" si="1"/>
        <v>0.70710678118654757</v>
      </c>
      <c r="J9" s="5">
        <f t="shared" si="2"/>
        <v>2</v>
      </c>
      <c r="K9" s="6" t="s">
        <v>21</v>
      </c>
    </row>
    <row r="10" spans="1:11" ht="27.6" x14ac:dyDescent="0.3">
      <c r="A10" s="7" t="s">
        <v>22</v>
      </c>
      <c r="B10" s="7">
        <v>25</v>
      </c>
      <c r="C10" s="7">
        <v>72</v>
      </c>
      <c r="D10" s="7">
        <v>28</v>
      </c>
      <c r="E10" s="7">
        <v>68</v>
      </c>
      <c r="F10" s="7">
        <v>47</v>
      </c>
      <c r="H10" s="3">
        <f t="shared" si="0"/>
        <v>48</v>
      </c>
      <c r="I10" s="4">
        <f t="shared" si="1"/>
        <v>21.828879952943073</v>
      </c>
      <c r="J10" s="5">
        <f t="shared" si="2"/>
        <v>47</v>
      </c>
      <c r="K10" s="8" t="s">
        <v>23</v>
      </c>
    </row>
    <row r="11" spans="1:11" x14ac:dyDescent="0.3">
      <c r="A11" s="2" t="s">
        <v>24</v>
      </c>
      <c r="B11" s="2">
        <v>50</v>
      </c>
      <c r="C11" s="2">
        <v>46</v>
      </c>
      <c r="D11" s="2">
        <v>48</v>
      </c>
      <c r="E11" s="2">
        <v>49</v>
      </c>
      <c r="F11" s="2">
        <v>47</v>
      </c>
      <c r="H11" s="3">
        <f t="shared" si="0"/>
        <v>48</v>
      </c>
      <c r="I11" s="4">
        <f t="shared" si="1"/>
        <v>1.5811388300841898</v>
      </c>
      <c r="J11" s="5">
        <f t="shared" si="2"/>
        <v>4</v>
      </c>
      <c r="K11" s="6" t="s">
        <v>25</v>
      </c>
    </row>
    <row r="12" spans="1:11" x14ac:dyDescent="0.3">
      <c r="A12" s="7" t="s">
        <v>26</v>
      </c>
      <c r="B12" s="7">
        <v>44</v>
      </c>
      <c r="C12" s="7">
        <v>52</v>
      </c>
      <c r="D12" s="7">
        <v>46</v>
      </c>
      <c r="E12" s="7">
        <v>50</v>
      </c>
      <c r="F12" s="7">
        <v>48</v>
      </c>
      <c r="H12" s="3">
        <f t="shared" si="0"/>
        <v>48</v>
      </c>
      <c r="I12" s="4">
        <f t="shared" si="1"/>
        <v>3.1622776601683795</v>
      </c>
      <c r="J12" s="5">
        <f t="shared" si="2"/>
        <v>8</v>
      </c>
      <c r="K12" s="6" t="s">
        <v>27</v>
      </c>
    </row>
    <row r="13" spans="1:11" x14ac:dyDescent="0.3">
      <c r="A13" s="2" t="s">
        <v>28</v>
      </c>
      <c r="B13" s="2">
        <v>35</v>
      </c>
      <c r="C13" s="2">
        <v>60</v>
      </c>
      <c r="D13" s="2">
        <v>40</v>
      </c>
      <c r="E13" s="2">
        <v>55</v>
      </c>
      <c r="F13" s="2">
        <v>50</v>
      </c>
      <c r="H13" s="3">
        <f t="shared" si="0"/>
        <v>48</v>
      </c>
      <c r="I13" s="4">
        <f t="shared" si="1"/>
        <v>10.36822067666386</v>
      </c>
      <c r="J13" s="5">
        <f t="shared" si="2"/>
        <v>25</v>
      </c>
      <c r="K13" s="6" t="s">
        <v>29</v>
      </c>
    </row>
    <row r="14" spans="1:11" x14ac:dyDescent="0.3">
      <c r="A14" s="7" t="s">
        <v>30</v>
      </c>
      <c r="B14" s="7">
        <v>48</v>
      </c>
      <c r="C14" s="7">
        <v>48</v>
      </c>
      <c r="D14" s="7">
        <v>48</v>
      </c>
      <c r="E14" s="7">
        <v>48</v>
      </c>
      <c r="F14" s="7">
        <v>48</v>
      </c>
      <c r="H14" s="3">
        <f t="shared" si="0"/>
        <v>48</v>
      </c>
      <c r="I14" s="4">
        <f t="shared" si="1"/>
        <v>0</v>
      </c>
      <c r="J14" s="5">
        <f t="shared" si="2"/>
        <v>0</v>
      </c>
      <c r="K14" s="6" t="s">
        <v>31</v>
      </c>
    </row>
    <row r="16" spans="1:11" ht="34.950000000000003" customHeight="1" x14ac:dyDescent="0.3">
      <c r="H16" s="25" t="s">
        <v>32</v>
      </c>
      <c r="I16" s="21"/>
      <c r="J16" s="21"/>
      <c r="K16" s="21"/>
    </row>
    <row r="18" spans="1:11" x14ac:dyDescent="0.3">
      <c r="A18" s="24" t="s">
        <v>33</v>
      </c>
      <c r="B18" s="21"/>
      <c r="C18" s="21"/>
    </row>
    <row r="19" spans="1:11" ht="27.6" x14ac:dyDescent="0.3">
      <c r="A19" s="10" t="s">
        <v>34</v>
      </c>
      <c r="B19" s="11">
        <f>AVERAGE(B5:F14)</f>
        <v>48</v>
      </c>
      <c r="C19" s="12" t="s">
        <v>35</v>
      </c>
    </row>
    <row r="20" spans="1:11" ht="41.4" x14ac:dyDescent="0.3">
      <c r="A20" s="10" t="s">
        <v>36</v>
      </c>
      <c r="B20" s="11">
        <f>MEDIAN(B5:F14)</f>
        <v>48</v>
      </c>
      <c r="C20" s="12" t="s">
        <v>37</v>
      </c>
    </row>
    <row r="21" spans="1:11" ht="27.6" x14ac:dyDescent="0.3">
      <c r="A21" s="10" t="s">
        <v>38</v>
      </c>
      <c r="B21" s="11">
        <f>MODE(B5:F14)</f>
        <v>48</v>
      </c>
      <c r="C21" s="12" t="s">
        <v>39</v>
      </c>
    </row>
    <row r="22" spans="1:11" ht="27.6" x14ac:dyDescent="0.3">
      <c r="A22" s="10" t="s">
        <v>40</v>
      </c>
      <c r="B22" s="11">
        <f>MAX(B5:F14)-MIN(B5:F14)</f>
        <v>47</v>
      </c>
      <c r="C22" s="12" t="s">
        <v>41</v>
      </c>
    </row>
    <row r="23" spans="1:11" ht="27.6" x14ac:dyDescent="0.3">
      <c r="A23" s="10" t="s">
        <v>42</v>
      </c>
      <c r="B23" s="11">
        <f>STDEV(B5:F14)</f>
        <v>8.7575040708537735</v>
      </c>
      <c r="C23" s="12" t="s">
        <v>43</v>
      </c>
    </row>
    <row r="24" spans="1:11" ht="27.6" x14ac:dyDescent="0.3">
      <c r="A24" s="10" t="s">
        <v>44</v>
      </c>
      <c r="B24" s="11">
        <f>MIN(B5:F14)</f>
        <v>25</v>
      </c>
      <c r="C24" s="12" t="s">
        <v>45</v>
      </c>
    </row>
    <row r="25" spans="1:11" ht="27.6" x14ac:dyDescent="0.3">
      <c r="A25" s="10" t="s">
        <v>46</v>
      </c>
      <c r="B25" s="11">
        <f>MAX(B5:F14)</f>
        <v>72</v>
      </c>
      <c r="C25" s="12" t="s">
        <v>47</v>
      </c>
    </row>
    <row r="27" spans="1:11" ht="73.2" customHeight="1" x14ac:dyDescent="0.3">
      <c r="A27" s="32" t="s">
        <v>48</v>
      </c>
      <c r="B27" s="32"/>
      <c r="C27" s="32"/>
      <c r="D27" s="31"/>
      <c r="E27" s="31"/>
      <c r="F27" s="31"/>
      <c r="G27" s="31"/>
      <c r="H27" s="31"/>
      <c r="I27" s="31"/>
      <c r="J27" s="31"/>
      <c r="K27" s="31"/>
    </row>
    <row r="29" spans="1:11" ht="55.05" customHeight="1" x14ac:dyDescent="0.3">
      <c r="A29" s="22" t="s">
        <v>49</v>
      </c>
      <c r="B29" s="21"/>
      <c r="C29" s="21"/>
      <c r="D29" s="21"/>
      <c r="E29" s="21"/>
      <c r="F29" s="21"/>
      <c r="G29" s="21"/>
      <c r="H29" s="21"/>
      <c r="I29" s="21"/>
      <c r="J29" s="21"/>
      <c r="K29" s="21"/>
    </row>
    <row r="31" spans="1:11" ht="15.6" x14ac:dyDescent="0.3">
      <c r="A31" s="27" t="s">
        <v>50</v>
      </c>
      <c r="B31" s="21"/>
      <c r="C31" s="21"/>
      <c r="D31" s="21"/>
      <c r="E31" s="21"/>
      <c r="F31" s="21"/>
      <c r="G31" s="21"/>
      <c r="H31" s="21"/>
      <c r="I31" s="21"/>
      <c r="J31" s="21"/>
      <c r="K31" s="21"/>
    </row>
  </sheetData>
  <mergeCells count="7">
    <mergeCell ref="A31:K31"/>
    <mergeCell ref="A27:C27"/>
    <mergeCell ref="A2:F2"/>
    <mergeCell ref="A29:K29"/>
    <mergeCell ref="A1:F1"/>
    <mergeCell ref="A18:C18"/>
    <mergeCell ref="H16:K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sheetPr>
  <dimension ref="A1:E39"/>
  <sheetViews>
    <sheetView topLeftCell="A27" workbookViewId="0">
      <selection sqref="A1:E1"/>
    </sheetView>
  </sheetViews>
  <sheetFormatPr baseColWidth="10" defaultColWidth="8.88671875" defaultRowHeight="14.4" x14ac:dyDescent="0.3"/>
  <cols>
    <col min="1" max="1" width="26" customWidth="1"/>
    <col min="2" max="2" width="14" customWidth="1"/>
    <col min="3" max="3" width="48" customWidth="1"/>
    <col min="4" max="4" width="14" customWidth="1"/>
    <col min="5" max="5" width="42" customWidth="1"/>
  </cols>
  <sheetData>
    <row r="1" spans="1:5" ht="18" x14ac:dyDescent="0.35">
      <c r="A1" s="29" t="s">
        <v>51</v>
      </c>
      <c r="B1" s="21"/>
      <c r="C1" s="21"/>
      <c r="D1" s="21"/>
      <c r="E1" s="21"/>
    </row>
    <row r="2" spans="1:5" x14ac:dyDescent="0.3">
      <c r="A2" s="20" t="s">
        <v>52</v>
      </c>
      <c r="B2" s="21"/>
      <c r="C2" s="21"/>
      <c r="D2" s="21"/>
      <c r="E2" s="21"/>
    </row>
    <row r="4" spans="1:5" x14ac:dyDescent="0.3">
      <c r="A4" s="1" t="s">
        <v>53</v>
      </c>
      <c r="B4" s="1" t="s">
        <v>54</v>
      </c>
      <c r="C4" s="1" t="s">
        <v>55</v>
      </c>
      <c r="D4" s="1" t="s">
        <v>56</v>
      </c>
      <c r="E4" s="1" t="s">
        <v>57</v>
      </c>
    </row>
    <row r="5" spans="1:5" x14ac:dyDescent="0.3">
      <c r="A5" s="2">
        <v>1</v>
      </c>
      <c r="B5" s="2" t="s">
        <v>58</v>
      </c>
      <c r="C5" s="2">
        <v>42</v>
      </c>
      <c r="D5" s="2" t="s">
        <v>3</v>
      </c>
      <c r="E5" s="2" t="s">
        <v>59</v>
      </c>
    </row>
    <row r="6" spans="1:5" x14ac:dyDescent="0.3">
      <c r="A6" s="7">
        <v>2</v>
      </c>
      <c r="B6" s="7" t="s">
        <v>60</v>
      </c>
      <c r="C6" s="7">
        <v>45</v>
      </c>
      <c r="D6" s="7" t="s">
        <v>3</v>
      </c>
      <c r="E6" s="7" t="s">
        <v>61</v>
      </c>
    </row>
    <row r="7" spans="1:5" x14ac:dyDescent="0.3">
      <c r="A7" s="2">
        <v>3</v>
      </c>
      <c r="B7" s="2" t="s">
        <v>62</v>
      </c>
      <c r="C7" s="2">
        <v>43</v>
      </c>
      <c r="D7" s="2" t="s">
        <v>4</v>
      </c>
      <c r="E7" s="2" t="s">
        <v>59</v>
      </c>
    </row>
    <row r="8" spans="1:5" x14ac:dyDescent="0.3">
      <c r="A8" s="7">
        <v>4</v>
      </c>
      <c r="B8" s="7" t="s">
        <v>58</v>
      </c>
      <c r="C8" s="7">
        <v>44</v>
      </c>
      <c r="D8" s="7" t="s">
        <v>4</v>
      </c>
      <c r="E8" s="7" t="s">
        <v>61</v>
      </c>
    </row>
    <row r="9" spans="1:5" x14ac:dyDescent="0.3">
      <c r="A9" s="2">
        <v>5</v>
      </c>
      <c r="B9" s="2" t="s">
        <v>63</v>
      </c>
      <c r="C9" s="2">
        <v>41</v>
      </c>
      <c r="D9" s="2" t="s">
        <v>5</v>
      </c>
      <c r="E9" s="2" t="s">
        <v>59</v>
      </c>
    </row>
    <row r="10" spans="1:5" x14ac:dyDescent="0.3">
      <c r="A10" s="7">
        <v>6</v>
      </c>
      <c r="B10" s="7" t="s">
        <v>60</v>
      </c>
      <c r="C10" s="7">
        <v>43</v>
      </c>
      <c r="D10" s="7" t="s">
        <v>5</v>
      </c>
      <c r="E10" s="7" t="s">
        <v>61</v>
      </c>
    </row>
    <row r="11" spans="1:5" x14ac:dyDescent="0.3">
      <c r="A11" s="2">
        <v>7</v>
      </c>
      <c r="B11" s="2" t="s">
        <v>64</v>
      </c>
      <c r="C11" s="2">
        <v>46</v>
      </c>
      <c r="D11" s="2" t="s">
        <v>6</v>
      </c>
      <c r="E11" s="2" t="s">
        <v>59</v>
      </c>
    </row>
    <row r="12" spans="1:5" x14ac:dyDescent="0.3">
      <c r="A12" s="7">
        <v>8</v>
      </c>
      <c r="B12" s="7" t="s">
        <v>58</v>
      </c>
      <c r="C12" s="7">
        <v>42</v>
      </c>
      <c r="D12" s="7" t="s">
        <v>6</v>
      </c>
      <c r="E12" s="7" t="s">
        <v>61</v>
      </c>
    </row>
    <row r="13" spans="1:5" x14ac:dyDescent="0.3">
      <c r="A13" s="2">
        <v>9</v>
      </c>
      <c r="B13" s="2" t="s">
        <v>62</v>
      </c>
      <c r="C13" s="2">
        <v>44</v>
      </c>
      <c r="D13" s="2" t="s">
        <v>7</v>
      </c>
      <c r="E13" s="2" t="s">
        <v>59</v>
      </c>
    </row>
    <row r="14" spans="1:5" x14ac:dyDescent="0.3">
      <c r="A14" s="7">
        <v>10</v>
      </c>
      <c r="B14" s="7" t="s">
        <v>63</v>
      </c>
      <c r="C14" s="7">
        <v>43</v>
      </c>
      <c r="D14" s="7" t="s">
        <v>7</v>
      </c>
      <c r="E14" s="7" t="s">
        <v>61</v>
      </c>
    </row>
    <row r="15" spans="1:5" x14ac:dyDescent="0.3">
      <c r="A15" s="2">
        <v>11</v>
      </c>
      <c r="B15" s="2" t="s">
        <v>60</v>
      </c>
      <c r="C15" s="2">
        <v>45</v>
      </c>
      <c r="D15" s="2" t="s">
        <v>3</v>
      </c>
      <c r="E15" s="2" t="s">
        <v>59</v>
      </c>
    </row>
    <row r="16" spans="1:5" x14ac:dyDescent="0.3">
      <c r="A16" s="7">
        <v>12</v>
      </c>
      <c r="B16" s="7" t="s">
        <v>64</v>
      </c>
      <c r="C16" s="7">
        <v>42</v>
      </c>
      <c r="D16" s="7" t="s">
        <v>3</v>
      </c>
      <c r="E16" s="7" t="s">
        <v>61</v>
      </c>
    </row>
    <row r="17" spans="1:5" x14ac:dyDescent="0.3">
      <c r="A17" s="2">
        <v>13</v>
      </c>
      <c r="B17" s="2" t="s">
        <v>58</v>
      </c>
      <c r="C17" s="2">
        <v>43</v>
      </c>
      <c r="D17" s="2" t="s">
        <v>4</v>
      </c>
      <c r="E17" s="2" t="s">
        <v>59</v>
      </c>
    </row>
    <row r="18" spans="1:5" x14ac:dyDescent="0.3">
      <c r="A18" s="7">
        <v>14</v>
      </c>
      <c r="B18" s="7" t="s">
        <v>62</v>
      </c>
      <c r="C18" s="7">
        <v>44</v>
      </c>
      <c r="D18" s="7" t="s">
        <v>4</v>
      </c>
      <c r="E18" s="7" t="s">
        <v>61</v>
      </c>
    </row>
    <row r="19" spans="1:5" x14ac:dyDescent="0.3">
      <c r="A19" s="13">
        <v>15</v>
      </c>
      <c r="B19" s="13" t="s">
        <v>63</v>
      </c>
      <c r="C19" s="13">
        <v>85</v>
      </c>
      <c r="D19" s="13" t="s">
        <v>5</v>
      </c>
      <c r="E19" s="13" t="s">
        <v>59</v>
      </c>
    </row>
    <row r="20" spans="1:5" x14ac:dyDescent="0.3">
      <c r="A20" s="7">
        <v>16</v>
      </c>
      <c r="B20" s="7" t="s">
        <v>60</v>
      </c>
      <c r="C20" s="7">
        <v>42</v>
      </c>
      <c r="D20" s="7" t="s">
        <v>5</v>
      </c>
      <c r="E20" s="7" t="s">
        <v>61</v>
      </c>
    </row>
    <row r="21" spans="1:5" x14ac:dyDescent="0.3">
      <c r="A21" s="2">
        <v>17</v>
      </c>
      <c r="B21" s="2" t="s">
        <v>58</v>
      </c>
      <c r="C21" s="2">
        <v>43</v>
      </c>
      <c r="D21" s="2" t="s">
        <v>6</v>
      </c>
      <c r="E21" s="2" t="s">
        <v>59</v>
      </c>
    </row>
    <row r="22" spans="1:5" x14ac:dyDescent="0.3">
      <c r="A22" s="7">
        <v>18</v>
      </c>
      <c r="B22" s="7" t="s">
        <v>64</v>
      </c>
      <c r="C22" s="7">
        <v>44</v>
      </c>
      <c r="D22" s="7" t="s">
        <v>6</v>
      </c>
      <c r="E22" s="7" t="s">
        <v>61</v>
      </c>
    </row>
    <row r="23" spans="1:5" x14ac:dyDescent="0.3">
      <c r="A23" s="13">
        <v>19</v>
      </c>
      <c r="B23" s="13" t="s">
        <v>62</v>
      </c>
      <c r="C23" s="13">
        <v>90</v>
      </c>
      <c r="D23" s="13" t="s">
        <v>7</v>
      </c>
      <c r="E23" s="13" t="s">
        <v>59</v>
      </c>
    </row>
    <row r="24" spans="1:5" x14ac:dyDescent="0.3">
      <c r="A24" s="7">
        <v>20</v>
      </c>
      <c r="B24" s="7" t="s">
        <v>63</v>
      </c>
      <c r="C24" s="7">
        <v>43</v>
      </c>
      <c r="D24" s="7" t="s">
        <v>7</v>
      </c>
      <c r="E24" s="7" t="s">
        <v>61</v>
      </c>
    </row>
    <row r="26" spans="1:5" ht="40.049999999999997" customHeight="1" x14ac:dyDescent="0.3">
      <c r="A26" s="28" t="s">
        <v>65</v>
      </c>
      <c r="B26" s="21"/>
      <c r="C26" s="21"/>
      <c r="D26" s="21"/>
      <c r="E26" s="21"/>
    </row>
    <row r="27" spans="1:5" x14ac:dyDescent="0.3">
      <c r="A27" s="9" t="s">
        <v>66</v>
      </c>
    </row>
    <row r="29" spans="1:5" ht="27.6" x14ac:dyDescent="0.3">
      <c r="A29" s="10" t="s">
        <v>8</v>
      </c>
      <c r="B29" s="11">
        <f>AVERAGE(C5:C24)</f>
        <v>47.7</v>
      </c>
      <c r="C29" s="12" t="s">
        <v>67</v>
      </c>
    </row>
    <row r="30" spans="1:5" ht="41.4" x14ac:dyDescent="0.3">
      <c r="A30" s="10" t="s">
        <v>36</v>
      </c>
      <c r="B30" s="11">
        <f>MEDIAN(C5:C24)</f>
        <v>43</v>
      </c>
      <c r="C30" s="12" t="s">
        <v>68</v>
      </c>
    </row>
    <row r="31" spans="1:5" ht="27.6" x14ac:dyDescent="0.3">
      <c r="A31" s="10" t="s">
        <v>38</v>
      </c>
      <c r="B31" s="11">
        <f>MODE(C5:C24)</f>
        <v>43</v>
      </c>
      <c r="C31" s="12" t="s">
        <v>69</v>
      </c>
    </row>
    <row r="32" spans="1:5" ht="27.6" x14ac:dyDescent="0.3">
      <c r="A32" s="10" t="s">
        <v>10</v>
      </c>
      <c r="B32" s="11">
        <f>MAX(C5:C24)-MIN(C5:C24)</f>
        <v>49</v>
      </c>
      <c r="C32" s="12" t="s">
        <v>70</v>
      </c>
    </row>
    <row r="33" spans="1:5" ht="27.6" x14ac:dyDescent="0.3">
      <c r="A33" s="10" t="s">
        <v>71</v>
      </c>
      <c r="B33" s="11">
        <f>STDEV(C5:C24)</f>
        <v>13.688643006829453</v>
      </c>
      <c r="C33" s="12" t="s">
        <v>72</v>
      </c>
    </row>
    <row r="34" spans="1:5" ht="27.6" x14ac:dyDescent="0.3">
      <c r="A34" s="10" t="s">
        <v>44</v>
      </c>
      <c r="B34" s="11">
        <f>MIN(C5:C24)</f>
        <v>41</v>
      </c>
      <c r="C34" s="12" t="s">
        <v>73</v>
      </c>
    </row>
    <row r="35" spans="1:5" ht="27.6" x14ac:dyDescent="0.3">
      <c r="A35" s="10" t="s">
        <v>46</v>
      </c>
      <c r="B35" s="11">
        <f>MAX(C5:C24)</f>
        <v>90</v>
      </c>
      <c r="C35" s="12" t="s">
        <v>74</v>
      </c>
    </row>
    <row r="37" spans="1:5" ht="49.95" customHeight="1" x14ac:dyDescent="0.3">
      <c r="A37" s="30" t="s">
        <v>75</v>
      </c>
      <c r="B37" s="21"/>
      <c r="C37" s="21"/>
      <c r="D37" s="21"/>
      <c r="E37" s="21"/>
    </row>
    <row r="39" spans="1:5" ht="45" customHeight="1" x14ac:dyDescent="0.3">
      <c r="A39" s="22" t="s">
        <v>76</v>
      </c>
      <c r="B39" s="21"/>
      <c r="C39" s="21"/>
      <c r="D39" s="21"/>
      <c r="E39" s="21"/>
    </row>
  </sheetData>
  <mergeCells count="5">
    <mergeCell ref="A39:E39"/>
    <mergeCell ref="A26:E26"/>
    <mergeCell ref="A2:E2"/>
    <mergeCell ref="A1:E1"/>
    <mergeCell ref="A37:E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D29"/>
  <sheetViews>
    <sheetView workbookViewId="0">
      <selection activeCell="G27" sqref="G27"/>
    </sheetView>
  </sheetViews>
  <sheetFormatPr baseColWidth="10" defaultColWidth="8.88671875" defaultRowHeight="14.4" x14ac:dyDescent="0.3"/>
  <cols>
    <col min="1" max="1" width="22" customWidth="1"/>
    <col min="2" max="4" width="18" customWidth="1"/>
  </cols>
  <sheetData>
    <row r="1" spans="1:4" ht="18" x14ac:dyDescent="0.35">
      <c r="A1" s="29" t="s">
        <v>77</v>
      </c>
      <c r="B1" s="21"/>
      <c r="C1" s="21"/>
      <c r="D1" s="21"/>
    </row>
    <row r="2" spans="1:4" x14ac:dyDescent="0.3">
      <c r="A2" s="20" t="s">
        <v>78</v>
      </c>
      <c r="B2" s="21"/>
      <c r="C2" s="21"/>
      <c r="D2" s="21"/>
    </row>
    <row r="4" spans="1:4" x14ac:dyDescent="0.3">
      <c r="A4" s="1" t="s">
        <v>56</v>
      </c>
      <c r="B4" s="14" t="s">
        <v>79</v>
      </c>
      <c r="C4" s="15" t="s">
        <v>80</v>
      </c>
      <c r="D4" s="1" t="s">
        <v>81</v>
      </c>
    </row>
    <row r="5" spans="1:4" x14ac:dyDescent="0.3">
      <c r="A5" s="2" t="s">
        <v>3</v>
      </c>
      <c r="B5" s="2">
        <v>48</v>
      </c>
      <c r="C5" s="2">
        <v>25</v>
      </c>
      <c r="D5" s="2">
        <v>48</v>
      </c>
    </row>
    <row r="6" spans="1:4" x14ac:dyDescent="0.3">
      <c r="A6" s="7" t="s">
        <v>4</v>
      </c>
      <c r="B6" s="7">
        <v>49</v>
      </c>
      <c r="C6" s="7">
        <v>72</v>
      </c>
      <c r="D6" s="7">
        <v>48</v>
      </c>
    </row>
    <row r="7" spans="1:4" x14ac:dyDescent="0.3">
      <c r="A7" s="2" t="s">
        <v>5</v>
      </c>
      <c r="B7" s="2">
        <v>47</v>
      </c>
      <c r="C7" s="2">
        <v>30</v>
      </c>
      <c r="D7" s="2">
        <v>48</v>
      </c>
    </row>
    <row r="8" spans="1:4" x14ac:dyDescent="0.3">
      <c r="A8" s="7" t="s">
        <v>6</v>
      </c>
      <c r="B8" s="7">
        <v>50</v>
      </c>
      <c r="C8" s="7">
        <v>68</v>
      </c>
      <c r="D8" s="7">
        <v>48</v>
      </c>
    </row>
    <row r="9" spans="1:4" x14ac:dyDescent="0.3">
      <c r="A9" s="2" t="s">
        <v>7</v>
      </c>
      <c r="B9" s="2">
        <v>46</v>
      </c>
      <c r="C9" s="2">
        <v>45</v>
      </c>
      <c r="D9" s="2">
        <v>48</v>
      </c>
    </row>
    <row r="10" spans="1:4" x14ac:dyDescent="0.3">
      <c r="A10" s="7" t="s">
        <v>3</v>
      </c>
      <c r="B10" s="7">
        <v>48</v>
      </c>
      <c r="C10" s="7">
        <v>28</v>
      </c>
      <c r="D10" s="7">
        <v>48</v>
      </c>
    </row>
    <row r="11" spans="1:4" x14ac:dyDescent="0.3">
      <c r="A11" s="2" t="s">
        <v>4</v>
      </c>
      <c r="B11" s="2">
        <v>51</v>
      </c>
      <c r="C11" s="2">
        <v>70</v>
      </c>
      <c r="D11" s="2">
        <v>48</v>
      </c>
    </row>
    <row r="12" spans="1:4" x14ac:dyDescent="0.3">
      <c r="A12" s="7" t="s">
        <v>5</v>
      </c>
      <c r="B12" s="7">
        <v>47</v>
      </c>
      <c r="C12" s="7">
        <v>35</v>
      </c>
      <c r="D12" s="7">
        <v>48</v>
      </c>
    </row>
    <row r="13" spans="1:4" x14ac:dyDescent="0.3">
      <c r="A13" s="2" t="s">
        <v>6</v>
      </c>
      <c r="B13" s="2">
        <v>49</v>
      </c>
      <c r="C13" s="2">
        <v>65</v>
      </c>
      <c r="D13" s="2">
        <v>48</v>
      </c>
    </row>
    <row r="14" spans="1:4" x14ac:dyDescent="0.3">
      <c r="A14" s="7" t="s">
        <v>7</v>
      </c>
      <c r="B14" s="7">
        <v>48</v>
      </c>
      <c r="C14" s="7">
        <v>42</v>
      </c>
      <c r="D14" s="7">
        <v>48</v>
      </c>
    </row>
    <row r="17" spans="1:4" x14ac:dyDescent="0.3">
      <c r="A17" s="9" t="s">
        <v>82</v>
      </c>
    </row>
    <row r="18" spans="1:4" x14ac:dyDescent="0.3">
      <c r="B18" s="16" t="s">
        <v>12</v>
      </c>
      <c r="C18" s="17" t="s">
        <v>18</v>
      </c>
    </row>
    <row r="19" spans="1:4" x14ac:dyDescent="0.3">
      <c r="A19" s="10" t="s">
        <v>8</v>
      </c>
      <c r="B19" s="18">
        <f>AVERAGE(B5:B14)</f>
        <v>48.3</v>
      </c>
      <c r="C19" s="19">
        <f>AVERAGE(C5:C14)</f>
        <v>48</v>
      </c>
    </row>
    <row r="20" spans="1:4" x14ac:dyDescent="0.3">
      <c r="A20" s="10" t="s">
        <v>36</v>
      </c>
      <c r="B20" s="18">
        <f>MEDIAN(B5:B14)</f>
        <v>48</v>
      </c>
      <c r="C20" s="19">
        <f>MEDIAN(C5:C14)</f>
        <v>43.5</v>
      </c>
    </row>
    <row r="21" spans="1:4" x14ac:dyDescent="0.3">
      <c r="A21" s="10" t="s">
        <v>71</v>
      </c>
      <c r="B21" s="18">
        <f>STDEV(B5:B14)</f>
        <v>1.4944341180973264</v>
      </c>
      <c r="C21" s="19">
        <f>STDEV(C5:C14)</f>
        <v>18.903262505010431</v>
      </c>
    </row>
    <row r="22" spans="1:4" x14ac:dyDescent="0.3">
      <c r="A22" s="10" t="s">
        <v>10</v>
      </c>
      <c r="B22" s="18">
        <f>MAX(B5:B14)-MIN(B5:B14)</f>
        <v>5</v>
      </c>
      <c r="C22" s="19">
        <f>MAX(C5:C14)-MIN(C5:C14)</f>
        <v>47</v>
      </c>
    </row>
    <row r="23" spans="1:4" x14ac:dyDescent="0.3">
      <c r="A23" s="10" t="s">
        <v>44</v>
      </c>
      <c r="B23" s="18">
        <f>MIN(B5:B14)</f>
        <v>46</v>
      </c>
      <c r="C23" s="19">
        <f>MIN(C5:C14)</f>
        <v>25</v>
      </c>
    </row>
    <row r="24" spans="1:4" x14ac:dyDescent="0.3">
      <c r="A24" s="10" t="s">
        <v>46</v>
      </c>
      <c r="B24" s="18">
        <f>MAX(B5:B14)</f>
        <v>51</v>
      </c>
      <c r="C24" s="19">
        <f>MAX(C5:C14)</f>
        <v>72</v>
      </c>
    </row>
    <row r="27" spans="1:4" ht="88.2" customHeight="1" x14ac:dyDescent="0.3">
      <c r="A27" s="26" t="s">
        <v>83</v>
      </c>
      <c r="B27" s="21"/>
      <c r="C27" s="21"/>
      <c r="D27" s="21"/>
    </row>
    <row r="29" spans="1:4" ht="37.799999999999997" customHeight="1" x14ac:dyDescent="0.3">
      <c r="A29" s="33" t="s">
        <v>84</v>
      </c>
      <c r="B29" s="34"/>
      <c r="C29" s="34"/>
      <c r="D29" s="34"/>
    </row>
  </sheetData>
  <mergeCells count="4">
    <mergeCell ref="A1:D1"/>
    <mergeCell ref="A27:D27"/>
    <mergeCell ref="A29:D29"/>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Consumo Gasoil</vt:lpstr>
      <vt:lpstr>Tiempos de Viaje</vt:lpstr>
      <vt:lpstr>Variabilidad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2026-04-16T14:39:01Z</dcterms:created>
  <dcterms:modified xsi:type="dcterms:W3CDTF">2026-04-16T14:44:28Z</dcterms:modified>
</cp:coreProperties>
</file>